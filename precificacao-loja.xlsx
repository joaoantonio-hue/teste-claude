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Calculadora" sheetId="2" state="visible" r:id="rId4"/>
    <sheet name="Simulaç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Fonte: prints do app da maquininha, jan–mai/2026 (total R$ 7.892,30 em 34 vendas).</t>
        </r>
      </text>
    </comment>
    <comment ref="B13" authorId="0">
      <text>
        <r>
          <rPr>
            <sz val="10"/>
            <rFont val="Arial"/>
            <family val="2"/>
          </rPr>
          <t xml:space="preserve">Estimativa: os prints só mostram o que passou na maquininha. Se ela recebe dinheiro ou Pix direto, coloque a média mensal aqui.</t>
        </r>
      </text>
    </comment>
    <comment ref="B25" authorId="0">
      <text>
        <r>
          <rPr>
            <sz val="10"/>
            <rFont val="Arial"/>
            <family val="2"/>
          </rPr>
          <t xml:space="preserve">Fonte: tela 'Taxas' do app da maquininha, bandeira Visa.</t>
        </r>
      </text>
    </comment>
    <comment ref="B31" authorId="0">
      <text>
        <r>
          <rPr>
            <sz val="10"/>
            <rFont val="Arial"/>
            <family val="2"/>
          </rPr>
          <t xml:space="preserve">Escolha da família. Em varejo de moda, 10% a 25% de lucro líquido é uma referência comum.</t>
        </r>
      </text>
    </comment>
    <comment ref="B32" authorId="0">
      <text>
        <r>
          <rPr>
            <sz val="10"/>
            <rFont val="Arial"/>
            <family val="2"/>
          </rPr>
          <t xml:space="preserve">Suposição: não sabemos como ela calcula hoje. Confirme com ela e ajuste.</t>
        </r>
      </text>
    </comment>
    <comment ref="C25" authorId="0">
      <text>
        <r>
          <rPr>
            <sz val="10"/>
            <rFont val="Arial"/>
            <family val="2"/>
          </rPr>
          <t xml:space="preserve">Estimativa: não temos a divisão real entre Pix, débito e crédito. Ajuste quando souber (a soma deve dar 100%).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Exemplos. Troque pelos custos reais das peças.</t>
        </r>
      </text>
    </comment>
  </commentList>
</comments>
</file>

<file path=xl/sharedStrings.xml><?xml version="1.0" encoding="utf-8"?>
<sst xmlns="http://schemas.openxmlformats.org/spreadsheetml/2006/main" count="73" uniqueCount="73">
  <si>
    <t xml:space="preserve">Dados da loja</t>
  </si>
  <si>
    <t xml:space="preserve">Como usar: altere só as células amarelas (texto azul). O resto é calculado.</t>
  </si>
  <si>
    <t xml:space="preserve">Vendas na maquininha (2026)</t>
  </si>
  <si>
    <t xml:space="preserve">Valor bruto</t>
  </si>
  <si>
    <t xml:space="preserve">Nº de vendas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</si>
  <si>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</si>
  <si>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</si>
  <si>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</si>
  <si>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</si>
  <si>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</si>
  <si>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Total</t>
  </si>
  <si>
    <t xml:space="preserve">Média por mês</t>
  </si>
  <si>
    <t xml:space="preserve">Ticket médio (por venda)</t>
  </si>
  <si>
    <t xml:space="preserve">Vendas fora da maquininha por mês (dinheiro / Pix direto)</t>
  </si>
  <si>
    <t xml:space="preserve">Faturamento médio mensal considerado</t>
  </si>
  <si>
    <t xml:space="preserve">Custos fixos mensais</t>
  </si>
  <si>
    <t xml:space="preserve">Valor / mês</t>
  </si>
  <si>
    <t xml:space="preserve">Observação</t>
  </si>
  <si>
    <t xml:space="preserve">Água + luz</t>
  </si>
  <si>
    <t xml:space="preserve">Informado: média de R$ 250/mês.</t>
  </si>
  <si>
    <t xml:space="preserve">DAS do MEI (comércio)</t>
  </si>
  <si>
    <t xml:space="preserve">Estimativa: 5% do salário mínimo 2026 + R$ 1 de ICMS. Confirme no boleto.</t>
  </si>
  <si>
    <t xml:space="preserve">Aluguel da maquininha</t>
  </si>
  <si>
    <t xml:space="preserve">A maquininha está na modalidade 'Aluguel'. Coloque o valor mensal cobrado.</t>
  </si>
  <si>
    <t xml:space="preserve">Viagens SP / Goiânia</t>
  </si>
  <si>
    <t xml:space="preserve">Informado: cerca de R$ 5.000 por ano, dividido por 12 meses.</t>
  </si>
  <si>
    <t xml:space="preserve">Outros (internet, sacolas, etiquetas, divulgação)</t>
  </si>
  <si>
    <t xml:space="preserve">Preencher, se houver.</t>
  </si>
  <si>
    <t xml:space="preserve">Total custos fixos</t>
  </si>
  <si>
    <t xml:space="preserve">Taxas da maquininha (Visa)</t>
  </si>
  <si>
    <t xml:space="preserve">Taxa</t>
  </si>
  <si>
    <t xml:space="preserve">% das vendas (estimado)</t>
  </si>
  <si>
    <t xml:space="preserve">Pix na maquininha</t>
  </si>
  <si>
    <t xml:space="preserve">Débito</t>
  </si>
  <si>
    <t xml:space="preserve">Crédito à vista e parcelado até 4x</t>
  </si>
  <si>
    <t xml:space="preserve">Soma (deve dar 100%)</t>
  </si>
  <si>
    <t xml:space="preserve">Taxa média por venda</t>
  </si>
  <si>
    <t xml:space="preserve">Lucro desejado (% do preço de venda)</t>
  </si>
  <si>
    <t xml:space="preserve">Multiplicador que ela usa hoje (ex.: 3 = triplica o custo)</t>
  </si>
  <si>
    <t xml:space="preserve">Calculadora de preço (markup divisor)</t>
  </si>
  <si>
    <t xml:space="preserve">Preço = Custo da peça ÷ [1 − (% custos fixos + % taxa do cartão + % lucro)]</t>
  </si>
  <si>
    <t xml:space="preserve">% custos fixos (fixos ÷ faturamento)</t>
  </si>
  <si>
    <t xml:space="preserve">% taxa média do cartão</t>
  </si>
  <si>
    <t xml:space="preserve">% lucro desejado</t>
  </si>
  <si>
    <t xml:space="preserve">Soma</t>
  </si>
  <si>
    <t xml:space="preserve">Markup divisor (1 − soma)</t>
  </si>
  <si>
    <t xml:space="preserve">Multiplicador equivalente (1 ÷ divisor)</t>
  </si>
  <si>
    <t xml:space="preserve">Custo da peça (já com frete)</t>
  </si>
  <si>
    <t xml:space="preserve">Preço sugerido (markup)</t>
  </si>
  <si>
    <t xml:space="preserve">Lucro por peça</t>
  </si>
  <si>
    <t xml:space="preserve">Preço se dobrar (x2)</t>
  </si>
  <si>
    <t xml:space="preserve">Preço x2,5</t>
  </si>
  <si>
    <t xml:space="preserve">Preço do jeito atual</t>
  </si>
  <si>
    <t xml:space="preserve">E se ela baixar o preço?</t>
  </si>
  <si>
    <t xml:space="preserve">Quanto ela precisa vender a mais para continuar ganhando o mesmo que hoje.</t>
  </si>
  <si>
    <t xml:space="preserve">Faturamento médio atual / mês</t>
  </si>
  <si>
    <t xml:space="preserve">Custos fixos / mês</t>
  </si>
  <si>
    <t xml:space="preserve">Taxa média do cartão</t>
  </si>
  <si>
    <t xml:space="preserve">Multiplicador atual</t>
  </si>
  <si>
    <t xml:space="preserve">Margem de contribuição atual</t>
  </si>
  <si>
    <t xml:space="preserve">Sobra para ela hoje / mês (lucro)</t>
  </si>
  <si>
    <t xml:space="preserve">Cenário</t>
  </si>
  <si>
    <t xml:space="preserve">Multiplicador</t>
  </si>
  <si>
    <t xml:space="preserve">Preço muda em</t>
  </si>
  <si>
    <t xml:space="preserve">Margem de contribuição</t>
  </si>
  <si>
    <t xml:space="preserve">Ponto de equilíbrio / mês</t>
  </si>
  <si>
    <t xml:space="preserve">Faturamento p/ manter o lucro</t>
  </si>
  <si>
    <t xml:space="preserve">Peças vendidas a mais</t>
  </si>
  <si>
    <t xml:space="preserve">Do jeito atual</t>
  </si>
  <si>
    <t xml:space="preserve">Multiplicar por 2,5</t>
  </si>
  <si>
    <t xml:space="preserve">Dobrar (x2)</t>
  </si>
  <si>
    <t xml:space="preserve">Markup calculado</t>
  </si>
  <si>
    <t xml:space="preserve">Leitura: 'Peças vendidas a mais' = quantas peças a mais (em %) ela precisa vender por mês, com o preço novo, para ter a mesma sobra de hoje.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</si>
</sst>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 &quot;#,##0.00;&quot;(R$ &quot;#,##0.00\);\-"/>
    <numFmt numFmtId="166" formatCode="0"/>
    <numFmt numFmtId="167" formatCode="0.0"/>
    <numFmt numFmtId="168" formatCode="0.00%"/>
    <numFmt numFmtId="169" formatCode="0%"/>
    <numFmt numFmtId="170" formatCode="0.00\x"/>
    <numFmt numFmtId="171" formatCode="0.0%;\(0.0%\);\-"/>
    <numFmt numFmtId="172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1454.6</v>
      </c>
      <c r="C5" s="6" t="n">
        <v>6</v>
      </c>
    </row>
    <row r="6" customFormat="false" ht="15" hidden="false" customHeight="false" outlineLevel="0" collapsed="false">
      <c r="A6" s="4" t="s">
        <v>6</v>
      </c>
      <c r="B6" s="5" t="n">
        <v>3404.8</v>
      </c>
      <c r="C6" s="6" t="n">
        <v>10</v>
      </c>
    </row>
    <row r="7" customFormat="false" ht="15" hidden="false" customHeight="false" outlineLevel="0" collapsed="false">
      <c r="A7" s="4" t="s">
        <v>7</v>
      </c>
      <c r="B7" s="5" t="n">
        <v>1329.9</v>
      </c>
      <c r="C7" s="6" t="n">
        <v>6</v>
      </c>
    </row>
    <row r="8" customFormat="false" ht="15" hidden="false" customHeight="false" outlineLevel="0" collapsed="false">
      <c r="A8" s="4" t="s">
        <v>8</v>
      </c>
      <c r="B8" s="5" t="n">
        <v>612</v>
      </c>
      <c r="C8" s="6" t="n">
        <v>6</v>
      </c>
    </row>
    <row r="9" customFormat="false" ht="15" hidden="false" customHeight="false" outlineLevel="0" collapsed="false">
      <c r="A9" s="4" t="s">
        <v>9</v>
      </c>
      <c r="B9" s="5" t="n">
        <v>1091</v>
      </c>
      <c r="C9" s="6" t="n">
        <v>6</v>
      </c>
    </row>
    <row r="10" customFormat="false" ht="15" hidden="false" customHeight="false" outlineLevel="0" collapsed="false">
      <c r="A10" s="7" t="s">
        <v>10</v>
      </c>
      <c r="B10" s="8" t="n">
        <f aca="false">SUM(B5:B9)</f>
        <v>7892.3</v>
      </c>
      <c r="C10" s="9" t="n">
        <f aca="false">SUM(C5:C9)</f>
        <v>34</v>
      </c>
    </row>
    <row r="11" customFormat="false" ht="15" hidden="false" customHeight="false" outlineLevel="0" collapsed="false">
      <c r="A11" s="0" t="s">
        <v>11</v>
      </c>
      <c r="B11" s="10" t="n">
        <f aca="false">AVERAGE(B5:B9)</f>
        <v>1578.46</v>
      </c>
      <c r="C11" s="11" t="n">
        <f aca="false">AVERAGE(C5:C9)</f>
        <v>6.8</v>
      </c>
    </row>
    <row r="12" customFormat="false" ht="15" hidden="false" customHeight="false" outlineLevel="0" collapsed="false">
      <c r="A12" s="0" t="s">
        <v>12</v>
      </c>
      <c r="B12" s="10" t="n">
        <f aca="false">IFERROR(B10/C10,0)</f>
        <v>232.126470588235</v>
      </c>
    </row>
    <row r="13" customFormat="false" ht="15" hidden="false" customHeight="false" outlineLevel="0" collapsed="false">
      <c r="A13" s="0" t="s">
        <v>13</v>
      </c>
      <c r="B13" s="5" t="n">
        <v>0</v>
      </c>
    </row>
    <row r="14" customFormat="false" ht="15" hidden="false" customHeight="false" outlineLevel="0" collapsed="false">
      <c r="A14" s="7" t="s">
        <v>14</v>
      </c>
      <c r="B14" s="12" t="n">
        <f aca="false">B11+B13</f>
        <v>1578.46</v>
      </c>
    </row>
    <row r="16" customFormat="false" ht="15" hidden="false" customHeight="false" outlineLevel="0" collapsed="false">
      <c r="A16" s="3" t="s">
        <v>15</v>
      </c>
      <c r="B16" s="3" t="s">
        <v>16</v>
      </c>
      <c r="C16" s="3" t="s">
        <v>17</v>
      </c>
    </row>
    <row r="17" customFormat="false" ht="15" hidden="false" customHeight="false" outlineLevel="0" collapsed="false">
      <c r="A17" s="4" t="s">
        <v>18</v>
      </c>
      <c r="B17" s="5" t="n">
        <v>250</v>
      </c>
      <c r="C17" s="13" t="s">
        <v>19</v>
      </c>
    </row>
    <row r="18" customFormat="false" ht="15" hidden="false" customHeight="false" outlineLevel="0" collapsed="false">
      <c r="A18" s="4" t="s">
        <v>20</v>
      </c>
      <c r="B18" s="5" t="n">
        <v>82.05</v>
      </c>
      <c r="C18" s="13" t="s">
        <v>21</v>
      </c>
    </row>
    <row r="19" customFormat="false" ht="15" hidden="false" customHeight="false" outlineLevel="0" collapsed="false">
      <c r="A19" s="4" t="s">
        <v>22</v>
      </c>
      <c r="B19" s="5" t="n">
        <v>0</v>
      </c>
      <c r="C19" s="13" t="s">
        <v>23</v>
      </c>
    </row>
    <row r="20" customFormat="false" ht="15" hidden="false" customHeight="false" outlineLevel="0" collapsed="false">
      <c r="A20" s="4" t="s">
        <v>24</v>
      </c>
      <c r="B20" s="5" t="n">
        <f aca="false">5000/12</f>
        <v>416.666666666667</v>
      </c>
      <c r="C20" s="13" t="s">
        <v>25</v>
      </c>
    </row>
    <row r="21" customFormat="false" ht="15" hidden="false" customHeight="false" outlineLevel="0" collapsed="false">
      <c r="A21" s="4" t="s">
        <v>26</v>
      </c>
      <c r="B21" s="5" t="n">
        <v>0</v>
      </c>
      <c r="C21" s="13" t="s">
        <v>27</v>
      </c>
    </row>
    <row r="22" customFormat="false" ht="15" hidden="false" customHeight="false" outlineLevel="0" collapsed="false">
      <c r="A22" s="7" t="s">
        <v>28</v>
      </c>
      <c r="B22" s="12" t="n">
        <f aca="false">SUM(B17:B21)</f>
        <v>748.716666666667</v>
      </c>
    </row>
    <row r="24" customFormat="false" ht="15" hidden="false" customHeight="false" outlineLevel="0" collapsed="false">
      <c r="A24" s="3" t="s">
        <v>29</v>
      </c>
      <c r="B24" s="3" t="s">
        <v>30</v>
      </c>
      <c r="C24" s="3" t="s">
        <v>31</v>
      </c>
    </row>
    <row r="25" customFormat="false" ht="15" hidden="false" customHeight="false" outlineLevel="0" collapsed="false">
      <c r="A25" s="4" t="s">
        <v>32</v>
      </c>
      <c r="B25" s="14" t="n">
        <v>0.0073</v>
      </c>
      <c r="C25" s="15" t="n">
        <v>0.2</v>
      </c>
    </row>
    <row r="26" customFormat="false" ht="15" hidden="false" customHeight="false" outlineLevel="0" collapsed="false">
      <c r="A26" s="4" t="s">
        <v>33</v>
      </c>
      <c r="B26" s="14" t="n">
        <v>0.0199</v>
      </c>
      <c r="C26" s="15" t="n">
        <v>0.2</v>
      </c>
    </row>
    <row r="27" customFormat="false" ht="15" hidden="false" customHeight="false" outlineLevel="0" collapsed="false">
      <c r="A27" s="4" t="s">
        <v>34</v>
      </c>
      <c r="B27" s="14" t="n">
        <v>0.0449</v>
      </c>
      <c r="C27" s="15" t="n">
        <v>0.6</v>
      </c>
    </row>
    <row r="28" customFormat="false" ht="15" hidden="false" customHeight="false" outlineLevel="0" collapsed="false">
      <c r="A28" s="0" t="s">
        <v>35</v>
      </c>
      <c r="C28" s="16" t="n">
        <f aca="false">SUM(C25:C27)</f>
        <v>1</v>
      </c>
    </row>
    <row r="29" customFormat="false" ht="15" hidden="false" customHeight="false" outlineLevel="0" collapsed="false">
      <c r="A29" s="7" t="s">
        <v>36</v>
      </c>
      <c r="B29" s="17" t="n">
        <f aca="false">SUMPRODUCT(B25:B27,C25:C27)</f>
        <v>0.03238</v>
      </c>
    </row>
    <row r="31" customFormat="false" ht="15" hidden="false" customHeight="false" outlineLevel="0" collapsed="false">
      <c r="A31" s="7" t="s">
        <v>37</v>
      </c>
      <c r="B31" s="15" t="n">
        <v>0.2</v>
      </c>
    </row>
    <row r="32" customFormat="false" ht="15" hidden="false" customHeight="false" outlineLevel="0" collapsed="false">
      <c r="A32" s="0" t="s">
        <v>38</v>
      </c>
      <c r="B32" s="1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4" t="s">
        <v>41</v>
      </c>
      <c r="B4" s="19" t="n">
        <f aca="false">IFERROR(Dados!B22/Dados!B14,0)</f>
        <v>0.474333633203671</v>
      </c>
    </row>
    <row r="5" customFormat="false" ht="15" hidden="false" customHeight="false" outlineLevel="0" collapsed="false">
      <c r="A5" s="4" t="s">
        <v>42</v>
      </c>
      <c r="B5" s="19" t="n">
        <f aca="false">Dados!B29</f>
        <v>0.03238</v>
      </c>
    </row>
    <row r="6" customFormat="false" ht="15" hidden="false" customHeight="false" outlineLevel="0" collapsed="false">
      <c r="A6" s="4" t="s">
        <v>43</v>
      </c>
      <c r="B6" s="19" t="n">
        <f aca="false">Dados!B31</f>
        <v>0.2</v>
      </c>
    </row>
    <row r="7" customFormat="false" ht="15" hidden="false" customHeight="false" outlineLevel="0" collapsed="false">
      <c r="A7" s="7" t="s">
        <v>44</v>
      </c>
      <c r="B7" s="20" t="n">
        <f aca="false">SUM(B4:B6)</f>
        <v>0.706713633203671</v>
      </c>
    </row>
    <row r="8" customFormat="false" ht="15" hidden="false" customHeight="false" outlineLevel="0" collapsed="false">
      <c r="A8" s="4" t="s">
        <v>45</v>
      </c>
      <c r="B8" s="21" t="n">
        <f aca="false">1-B7</f>
        <v>0.293286366796329</v>
      </c>
    </row>
    <row r="9" customFormat="false" ht="15" hidden="false" customHeight="false" outlineLevel="0" collapsed="false">
      <c r="A9" s="7" t="s">
        <v>46</v>
      </c>
      <c r="B9" s="22" t="n">
        <f aca="false">IF(B8&lt;=0,"Inviável",1/B8)</f>
        <v>3.40963683693639</v>
      </c>
      <c r="C9" s="23" t="str">
        <f aca="false">IF(B8&lt;=0,"A soma passou de 100%: com esse faturamento, nenhum preço cobre custos + lucro.","")</f>
        <v/>
      </c>
    </row>
    <row r="11" customFormat="false" ht="31.5" hidden="false" customHeight="true" outlineLevel="0" collapsed="false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</row>
    <row r="12" customFormat="false" ht="15" hidden="false" customHeight="false" outlineLevel="0" collapsed="false">
      <c r="A12" s="5" t="n">
        <v>30</v>
      </c>
      <c r="B12" s="24" t="n">
        <f aca="false">IF($B$8&lt;=0,"-",A12/$B$8)</f>
        <v>102.289105108092</v>
      </c>
      <c r="C12" s="10" t="n">
        <f aca="false">IF($B$8&lt;=0,"-",B12*$B$6)</f>
        <v>20.4578210216183</v>
      </c>
      <c r="D12" s="10" t="n">
        <f aca="false">A12*2</f>
        <v>60</v>
      </c>
      <c r="E12" s="10" t="n">
        <f aca="false">A12*2.5</f>
        <v>75</v>
      </c>
      <c r="F12" s="25" t="n">
        <f aca="false">A12*Dados!$B$32</f>
        <v>90</v>
      </c>
    </row>
    <row r="13" customFormat="false" ht="15" hidden="false" customHeight="false" outlineLevel="0" collapsed="false">
      <c r="A13" s="5" t="n">
        <v>50</v>
      </c>
      <c r="B13" s="24" t="n">
        <f aca="false">IF($B$8&lt;=0,"-",A13/$B$8)</f>
        <v>170.481841846819</v>
      </c>
      <c r="C13" s="10" t="n">
        <f aca="false">IF($B$8&lt;=0,"-",B13*$B$6)</f>
        <v>34.0963683693639</v>
      </c>
      <c r="D13" s="10" t="n">
        <f aca="false">A13*2</f>
        <v>100</v>
      </c>
      <c r="E13" s="10" t="n">
        <f aca="false">A13*2.5</f>
        <v>125</v>
      </c>
      <c r="F13" s="25" t="n">
        <f aca="false">A13*Dados!$B$32</f>
        <v>150</v>
      </c>
    </row>
    <row r="14" customFormat="false" ht="15" hidden="false" customHeight="false" outlineLevel="0" collapsed="false">
      <c r="A14" s="5" t="n">
        <v>80</v>
      </c>
      <c r="B14" s="24" t="n">
        <f aca="false">IF($B$8&lt;=0,"-",A14/$B$8)</f>
        <v>272.770946954911</v>
      </c>
      <c r="C14" s="10" t="n">
        <f aca="false">IF($B$8&lt;=0,"-",B14*$B$6)</f>
        <v>54.5541893909822</v>
      </c>
      <c r="D14" s="10" t="n">
        <f aca="false">A14*2</f>
        <v>160</v>
      </c>
      <c r="E14" s="10" t="n">
        <f aca="false">A14*2.5</f>
        <v>200</v>
      </c>
      <c r="F14" s="25" t="n">
        <f aca="false">A14*Dados!$B$32</f>
        <v>240</v>
      </c>
    </row>
    <row r="15" customFormat="false" ht="15" hidden="false" customHeight="false" outlineLevel="0" collapsed="false">
      <c r="A15" s="5" t="n">
        <v>120</v>
      </c>
      <c r="B15" s="24" t="n">
        <f aca="false">IF($B$8&lt;=0,"-",A15/$B$8)</f>
        <v>409.156420432367</v>
      </c>
      <c r="C15" s="10" t="n">
        <f aca="false">IF($B$8&lt;=0,"-",B15*$B$6)</f>
        <v>81.8312840864733</v>
      </c>
      <c r="D15" s="10" t="n">
        <f aca="false">A15*2</f>
        <v>240</v>
      </c>
      <c r="E15" s="10" t="n">
        <f aca="false">A15*2.5</f>
        <v>300</v>
      </c>
      <c r="F15" s="25" t="n">
        <f aca="false">A15*Dados!$B$32</f>
        <v>360</v>
      </c>
    </row>
    <row r="16" customFormat="false" ht="15" hidden="false" customHeight="false" outlineLevel="0" collapsed="false">
      <c r="A16" s="5" t="n">
        <v>200</v>
      </c>
      <c r="B16" s="24" t="n">
        <f aca="false">IF($B$8&lt;=0,"-",A16/$B$8)</f>
        <v>681.927367387278</v>
      </c>
      <c r="C16" s="10" t="n">
        <f aca="false">IF($B$8&lt;=0,"-",B16*$B$6)</f>
        <v>136.385473477456</v>
      </c>
      <c r="D16" s="10" t="n">
        <f aca="false">A16*2</f>
        <v>400</v>
      </c>
      <c r="E16" s="10" t="n">
        <f aca="false">A16*2.5</f>
        <v>500</v>
      </c>
      <c r="F16" s="25" t="n">
        <f aca="false">A16*Dados!$B$32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0" t="s">
        <v>55</v>
      </c>
      <c r="B4" s="25" t="n">
        <f aca="false">Dados!B14</f>
        <v>1578.46</v>
      </c>
    </row>
    <row r="5" customFormat="false" ht="15" hidden="false" customHeight="false" outlineLevel="0" collapsed="false">
      <c r="A5" s="0" t="s">
        <v>56</v>
      </c>
      <c r="B5" s="25" t="n">
        <f aca="false">Dados!B22</f>
        <v>748.716666666667</v>
      </c>
    </row>
    <row r="6" customFormat="false" ht="15" hidden="false" customHeight="false" outlineLevel="0" collapsed="false">
      <c r="A6" s="0" t="s">
        <v>57</v>
      </c>
      <c r="B6" s="26" t="n">
        <f aca="false">Dados!B29</f>
        <v>0.03238</v>
      </c>
    </row>
    <row r="7" customFormat="false" ht="15" hidden="false" customHeight="false" outlineLevel="0" collapsed="false">
      <c r="A7" s="0" t="s">
        <v>58</v>
      </c>
      <c r="B7" s="27" t="n">
        <f aca="false">Dados!B32</f>
        <v>3</v>
      </c>
    </row>
    <row r="8" customFormat="false" ht="15" hidden="false" customHeight="false" outlineLevel="0" collapsed="false">
      <c r="A8" s="0" t="s">
        <v>59</v>
      </c>
      <c r="B8" s="20" t="n">
        <f aca="false">1-1/B7-B6</f>
        <v>0.634286666666667</v>
      </c>
    </row>
    <row r="9" customFormat="false" ht="15" hidden="false" customHeight="false" outlineLevel="0" collapsed="false">
      <c r="A9" s="7" t="s">
        <v>60</v>
      </c>
      <c r="B9" s="12" t="n">
        <f aca="false">B4*B8-B5</f>
        <v>252.4794652</v>
      </c>
    </row>
    <row r="11" customFormat="false" ht="31.5" hidden="false" customHeight="true" outlineLevel="0" collapsed="false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</row>
    <row r="12" customFormat="false" ht="15" hidden="false" customHeight="false" outlineLevel="0" collapsed="false">
      <c r="A12" s="4" t="s">
        <v>68</v>
      </c>
      <c r="B12" s="27" t="n">
        <f aca="false">Dados!B32</f>
        <v>3</v>
      </c>
      <c r="C12" s="20" t="n">
        <f aca="false">B12/$B$7-1</f>
        <v>0</v>
      </c>
      <c r="D12" s="20" t="n">
        <f aca="false">1-1/B12-$B$6</f>
        <v>0.634286666666667</v>
      </c>
      <c r="E12" s="10" t="n">
        <f aca="false">IF(D12&lt;=0,"-",$B$5/D12)</f>
        <v>1180.4073867757</v>
      </c>
      <c r="F12" s="10" t="n">
        <f aca="false">IF(D12&lt;=0,"-",($B$5+MAX($B$9,0))/D12)</f>
        <v>1578.46</v>
      </c>
      <c r="G12" s="28" t="n">
        <f aca="false">IF(D12&lt;=0,"-",(F12/$B$4)/(B12/$B$7)-1)</f>
        <v>0</v>
      </c>
    </row>
    <row r="13" customFormat="false" ht="15" hidden="false" customHeight="false" outlineLevel="0" collapsed="false">
      <c r="A13" s="4" t="s">
        <v>69</v>
      </c>
      <c r="B13" s="18" t="n">
        <v>2.5</v>
      </c>
      <c r="C13" s="20" t="n">
        <f aca="false">B13/$B$7-1</f>
        <v>-0.166666666666667</v>
      </c>
      <c r="D13" s="20" t="n">
        <f aca="false">1-1/B13-$B$6</f>
        <v>0.56762</v>
      </c>
      <c r="E13" s="10" t="n">
        <f aca="false">IF(D13&lt;=0,"-",$B$5/D13)</f>
        <v>1319.04560562818</v>
      </c>
      <c r="F13" s="10" t="n">
        <f aca="false">IF(D13&lt;=0,"-",($B$5+MAX($B$9,0))/D13)</f>
        <v>1763.84928625959</v>
      </c>
      <c r="G13" s="28" t="n">
        <f aca="false">IF(D13&lt;=0,"-",(F13/$B$4)/(B13/$B$7)-1)</f>
        <v>0.340939360839999</v>
      </c>
    </row>
    <row r="14" customFormat="false" ht="15" hidden="false" customHeight="false" outlineLevel="0" collapsed="false">
      <c r="A14" s="4" t="s">
        <v>70</v>
      </c>
      <c r="B14" s="18" t="n">
        <v>2</v>
      </c>
      <c r="C14" s="20" t="n">
        <f aca="false">B14/$B$7-1</f>
        <v>-0.333333333333333</v>
      </c>
      <c r="D14" s="20" t="n">
        <f aca="false">1-1/B14-$B$6</f>
        <v>0.46762</v>
      </c>
      <c r="E14" s="10" t="n">
        <f aca="false">IF(D14&lt;=0,"-",$B$5/D14)</f>
        <v>1601.12199364156</v>
      </c>
      <c r="F14" s="10" t="n">
        <f aca="false">IF(D14&lt;=0,"-",($B$5+MAX($B$9,0))/D14)</f>
        <v>2141.04643057754</v>
      </c>
      <c r="G14" s="28" t="n">
        <f aca="false">IF(D14&lt;=0,"-",(F14/$B$4)/(B14/$B$7)-1)</f>
        <v>1.03462212907917</v>
      </c>
    </row>
    <row r="15" customFormat="false" ht="15" hidden="false" customHeight="false" outlineLevel="0" collapsed="false">
      <c r="A15" s="4" t="s">
        <v>71</v>
      </c>
      <c r="B15" s="27" t="n">
        <f aca="false">Calculadora!B9</f>
        <v>3.40963683693639</v>
      </c>
      <c r="C15" s="20" t="n">
        <f aca="false">B15/$B$7-1</f>
        <v>0.13654561231213</v>
      </c>
      <c r="D15" s="20" t="n">
        <f aca="false">1-1/B15-$B$6</f>
        <v>0.674333633203671</v>
      </c>
      <c r="E15" s="10" t="n">
        <f aca="false">IF(D15&lt;=0,"-",$B$5/D15)</f>
        <v>1110.3059817877</v>
      </c>
      <c r="F15" s="10" t="n">
        <f aca="false">IF(D15&lt;=0,"-",($B$5+MAX($B$9,0))/D15)</f>
        <v>1484.71925849244</v>
      </c>
      <c r="G15" s="28" t="n">
        <f aca="false">IF(D15&lt;=0,"-",(F15/$B$4)/(B15/$B$7)-1)</f>
        <v>-0.172393503093294</v>
      </c>
    </row>
    <row r="17" customFormat="false" ht="15" hidden="false" customHeight="false" outlineLevel="0" collapsed="false">
      <c r="A17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2026-10-30T19:19:08Z</dcterms:created>
  <dc:creator>openpyxl</dc:creator>
  <dc:description/>
  <dc:language>en-US</dc:language>
  <cp:lastModifiedBy/>
  <dcterms:modified xsi:type="dcterms:W3CDTF">2026-10-30T19:19:08Z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